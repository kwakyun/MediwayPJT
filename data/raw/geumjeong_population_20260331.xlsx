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문수빈\2026\2. 인구\2026.3\"/>
    </mc:Choice>
  </mc:AlternateContent>
  <xr:revisionPtr revIDLastSave="0" documentId="13_ncr:1_{0399D754-3300-4749-8BFC-EF6E51A04705}" xr6:coauthVersionLast="47" xr6:coauthVersionMax="47" xr10:uidLastSave="{00000000-0000-0000-0000-000000000000}"/>
  <bookViews>
    <workbookView xWindow="30435" yWindow="1275" windowWidth="19260" windowHeight="13545" xr2:uid="{00000000-000D-0000-FFFF-FFFF00000000}"/>
  </bookViews>
  <sheets>
    <sheet name="금정구" sheetId="15" r:id="rId1"/>
  </sheets>
  <definedNames>
    <definedName name="_xlnm.Print_Area" localSheetId="0">금정구!$A$1:$O$27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5" l="1"/>
  <c r="O8" i="15"/>
  <c r="M8" i="15"/>
  <c r="L8" i="15"/>
  <c r="K8" i="15"/>
  <c r="J8" i="15"/>
  <c r="I8" i="15"/>
  <c r="H8" i="15"/>
  <c r="G8" i="15"/>
  <c r="E8" i="15"/>
  <c r="D8" i="15"/>
  <c r="C8" i="15"/>
  <c r="B8" i="15"/>
  <c r="M7" i="15"/>
  <c r="L7" i="15"/>
  <c r="K7" i="15"/>
  <c r="J7" i="15"/>
  <c r="I7" i="15"/>
  <c r="H7" i="15"/>
  <c r="G7" i="15"/>
  <c r="D7" i="15"/>
  <c r="C7" i="15"/>
  <c r="B7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N7" i="15"/>
  <c r="F8" i="15" l="1"/>
  <c r="F7" i="15" s="1"/>
</calcChain>
</file>

<file path=xl/sharedStrings.xml><?xml version="1.0" encoding="utf-8"?>
<sst xmlns="http://schemas.openxmlformats.org/spreadsheetml/2006/main" count="42" uniqueCount="38">
  <si>
    <t>면적(㎢)</t>
    <phoneticPr fontId="3" type="noConversion"/>
  </si>
  <si>
    <t>서 2 동</t>
  </si>
  <si>
    <t>서 3 동</t>
  </si>
  <si>
    <t>부곡2동</t>
  </si>
  <si>
    <t>부곡3동</t>
  </si>
  <si>
    <t>부곡4동</t>
  </si>
  <si>
    <t>장전2동</t>
  </si>
  <si>
    <t>구분</t>
    <phoneticPr fontId="3" type="noConversion"/>
  </si>
  <si>
    <t>전체 인구수</t>
    <phoneticPr fontId="3" type="noConversion"/>
  </si>
  <si>
    <r>
      <t xml:space="preserve">증감
</t>
    </r>
    <r>
      <rPr>
        <b/>
        <sz val="9"/>
        <color indexed="12"/>
        <rFont val="맑은 고딕"/>
        <family val="3"/>
        <charset val="129"/>
      </rPr>
      <t>(전월대비)</t>
    </r>
    <phoneticPr fontId="2" type="noConversion"/>
  </si>
  <si>
    <r>
      <rPr>
        <b/>
        <sz val="10"/>
        <color indexed="10"/>
        <rFont val="맑은 고딕"/>
        <family val="3"/>
        <charset val="129"/>
      </rPr>
      <t xml:space="preserve">18세 이상 </t>
    </r>
    <r>
      <rPr>
        <b/>
        <sz val="10"/>
        <rFont val="맑은 고딕"/>
        <family val="3"/>
        <charset val="129"/>
      </rPr>
      <t>인구수</t>
    </r>
    <phoneticPr fontId="3" type="noConversion"/>
  </si>
  <si>
    <t>65세 이상 인구수</t>
    <phoneticPr fontId="2" type="noConversion"/>
  </si>
  <si>
    <t>세대수</t>
    <phoneticPr fontId="3" type="noConversion"/>
  </si>
  <si>
    <t>통수</t>
    <phoneticPr fontId="3" type="noConversion"/>
  </si>
  <si>
    <t>계</t>
    <phoneticPr fontId="3" type="noConversion"/>
  </si>
  <si>
    <t>남</t>
    <phoneticPr fontId="3" type="noConversion"/>
  </si>
  <si>
    <t>여</t>
    <phoneticPr fontId="3" type="noConversion"/>
  </si>
  <si>
    <t>계</t>
    <phoneticPr fontId="2" type="noConversion"/>
  </si>
  <si>
    <t>남</t>
    <phoneticPr fontId="2" type="noConversion"/>
  </si>
  <si>
    <t>여</t>
    <phoneticPr fontId="2" type="noConversion"/>
  </si>
  <si>
    <t>서 1 동</t>
    <phoneticPr fontId="3" type="noConversion"/>
  </si>
  <si>
    <t>금사회동동</t>
    <phoneticPr fontId="3" type="noConversion"/>
  </si>
  <si>
    <t>부곡1동</t>
    <phoneticPr fontId="3" type="noConversion"/>
  </si>
  <si>
    <t>장전1동</t>
    <phoneticPr fontId="3" type="noConversion"/>
  </si>
  <si>
    <t>선두구동</t>
    <phoneticPr fontId="3" type="noConversion"/>
  </si>
  <si>
    <t>청룡노포동</t>
    <phoneticPr fontId="3" type="noConversion"/>
  </si>
  <si>
    <t>남 산 동</t>
    <phoneticPr fontId="3" type="noConversion"/>
  </si>
  <si>
    <t>구서1동</t>
    <phoneticPr fontId="3" type="noConversion"/>
  </si>
  <si>
    <t>구서2동</t>
    <phoneticPr fontId="3" type="noConversion"/>
  </si>
  <si>
    <t>금 성 동</t>
    <phoneticPr fontId="3" type="noConversion"/>
  </si>
  <si>
    <r>
      <t xml:space="preserve">증감
</t>
    </r>
    <r>
      <rPr>
        <b/>
        <sz val="10"/>
        <color indexed="12"/>
        <rFont val="맑은 고딕"/>
        <family val="3"/>
        <charset val="129"/>
      </rPr>
      <t>(전월대비)</t>
    </r>
    <phoneticPr fontId="3" type="noConversion"/>
  </si>
  <si>
    <t>※ 18세 이상 인구: 전체 인구의 90.5% (전월대비 동일)</t>
    <phoneticPr fontId="2" type="noConversion"/>
  </si>
  <si>
    <t>2026년 3월 금정구 주민등록인구현황</t>
    <phoneticPr fontId="2" type="noConversion"/>
  </si>
  <si>
    <r>
      <t xml:space="preserve">전월
인구수
</t>
    </r>
    <r>
      <rPr>
        <b/>
        <sz val="9"/>
        <rFont val="맑은 고딕"/>
        <family val="3"/>
        <charset val="129"/>
      </rPr>
      <t>(2026.2.)</t>
    </r>
    <phoneticPr fontId="3" type="noConversion"/>
  </si>
  <si>
    <t xml:space="preserve">(2026.3.31.현재) </t>
    <phoneticPr fontId="2" type="noConversion"/>
  </si>
  <si>
    <t>2026년 3월</t>
    <phoneticPr fontId="2" type="noConversion"/>
  </si>
  <si>
    <t>2026년 2월</t>
    <phoneticPr fontId="2" type="noConversion"/>
  </si>
  <si>
    <r>
      <t>※ 65세 이상 인구: 전체 인구의 28.9% (전월대비 374명 증가)/</t>
    </r>
    <r>
      <rPr>
        <sz val="10"/>
        <rFont val="맑은 고딕"/>
        <family val="3"/>
        <charset val="129"/>
      </rPr>
      <t>초고령사회(65세 이상 인구 20% 이상)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</si>
</sst>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0_);[Red]\(0.00\)"/>
    <numFmt numFmtId="177" formatCode="#,##0\ "/>
    <numFmt numFmtId="178" formatCode="#,##0_ ;[Red]\-#,##0\ "/>
    <numFmt numFmtId="179" formatCode="#,##0.00_ ;[Red]\-#,##0.00\ "/>
  </numFmts>
  <fonts count="25">
    <font>
      <sz val="11"/>
      <name val="돋움"/>
      <family val="3"/>
      <charset val="129"/>
    </font>
    <font>
      <sz val="11"/>
      <name val="돋움"/>
      <family val="3"/>
      <charset val="129"/>
    </font>
    <font>
      <sz val="26"/>
      <name val="돋움"/>
      <family val="3"/>
      <charset val="129"/>
    </font>
    <font>
      <sz val="8"/>
      <name val="돋움"/>
      <family val="3"/>
      <charset val="129"/>
    </font>
    <font>
      <b/>
      <sz val="20"/>
      <name val="HY그래픽M"/>
      <family val="1"/>
      <charset val="129"/>
    </font>
    <font>
      <b/>
      <sz val="9"/>
      <color indexed="12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b/>
      <sz val="11"/>
      <name val="돋움"/>
      <family val="3"/>
      <charset val="129"/>
    </font>
    <font>
      <b/>
      <sz val="10"/>
      <color indexed="1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1"/>
      <color rgb="FF0000FF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41" fontId="0" fillId="0" borderId="0" xfId="0" applyNumberFormat="1"/>
    <xf numFmtId="0" fontId="0" fillId="0" borderId="0" xfId="0" applyFill="1"/>
    <xf numFmtId="41" fontId="0" fillId="0" borderId="0" xfId="0" applyNumberFormat="1" applyFill="1"/>
    <xf numFmtId="0" fontId="12" fillId="0" borderId="0" xfId="0" applyFont="1"/>
    <xf numFmtId="177" fontId="0" fillId="0" borderId="0" xfId="0" applyNumberFormat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178" fontId="15" fillId="0" borderId="3" xfId="0" applyNumberFormat="1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176" fontId="17" fillId="0" borderId="4" xfId="1" applyNumberFormat="1" applyFont="1" applyFill="1" applyBorder="1" applyAlignment="1">
      <alignment vertical="center"/>
    </xf>
    <xf numFmtId="176" fontId="18" fillId="0" borderId="4" xfId="1" applyNumberFormat="1" applyFont="1" applyFill="1" applyBorder="1" applyAlignment="1">
      <alignment vertical="center"/>
    </xf>
    <xf numFmtId="176" fontId="18" fillId="0" borderId="5" xfId="1" applyNumberFormat="1" applyFont="1" applyFill="1" applyBorder="1" applyAlignment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178" fontId="19" fillId="3" borderId="3" xfId="0" applyNumberFormat="1" applyFont="1" applyFill="1" applyBorder="1" applyAlignment="1">
      <alignment vertical="center"/>
    </xf>
    <xf numFmtId="178" fontId="19" fillId="0" borderId="3" xfId="1" applyNumberFormat="1" applyFont="1" applyFill="1" applyBorder="1" applyAlignment="1">
      <alignment horizontal="right" vertical="center"/>
    </xf>
    <xf numFmtId="178" fontId="19" fillId="0" borderId="3" xfId="0" applyNumberFormat="1" applyFont="1" applyBorder="1" applyAlignment="1">
      <alignment vertical="center"/>
    </xf>
    <xf numFmtId="178" fontId="19" fillId="0" borderId="6" xfId="0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20" fillId="3" borderId="0" xfId="0" applyFont="1" applyFill="1" applyAlignment="1">
      <alignment horizontal="right" vertical="center"/>
    </xf>
    <xf numFmtId="0" fontId="21" fillId="0" borderId="3" xfId="0" applyFont="1" applyBorder="1" applyAlignment="1">
      <alignment horizontal="right" vertical="center" wrapText="1"/>
    </xf>
    <xf numFmtId="0" fontId="20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78" fontId="13" fillId="3" borderId="3" xfId="0" applyNumberFormat="1" applyFont="1" applyFill="1" applyBorder="1" applyAlignment="1">
      <alignment vertical="center"/>
    </xf>
    <xf numFmtId="0" fontId="19" fillId="0" borderId="3" xfId="0" applyFont="1" applyBorder="1" applyAlignment="1">
      <alignment horizontal="right" vertical="center" wrapText="1"/>
    </xf>
    <xf numFmtId="0" fontId="14" fillId="4" borderId="1" xfId="0" applyFont="1" applyFill="1" applyBorder="1" applyAlignment="1">
      <alignment horizontal="center" vertical="center"/>
    </xf>
    <xf numFmtId="178" fontId="14" fillId="4" borderId="3" xfId="0" applyNumberFormat="1" applyFont="1" applyFill="1" applyBorder="1" applyAlignment="1">
      <alignment vertical="center"/>
    </xf>
    <xf numFmtId="178" fontId="14" fillId="4" borderId="3" xfId="0" applyNumberFormat="1" applyFont="1" applyFill="1" applyBorder="1" applyAlignment="1">
      <alignment horizontal="right" vertical="center"/>
    </xf>
    <xf numFmtId="179" fontId="14" fillId="4" borderId="4" xfId="0" applyNumberFormat="1" applyFont="1" applyFill="1" applyBorder="1" applyAlignment="1">
      <alignment horizontal="right" vertical="center"/>
    </xf>
    <xf numFmtId="178" fontId="14" fillId="3" borderId="3" xfId="0" applyNumberFormat="1" applyFont="1" applyFill="1" applyBorder="1" applyAlignment="1">
      <alignment horizontal="right" vertical="center"/>
    </xf>
    <xf numFmtId="179" fontId="14" fillId="3" borderId="4" xfId="0" applyNumberFormat="1" applyFont="1" applyFill="1" applyBorder="1" applyAlignment="1">
      <alignment horizontal="right" vertical="center"/>
    </xf>
    <xf numFmtId="0" fontId="19" fillId="0" borderId="0" xfId="0" applyFont="1"/>
    <xf numFmtId="41" fontId="19" fillId="0" borderId="0" xfId="0" applyNumberFormat="1" applyFont="1"/>
    <xf numFmtId="3" fontId="14" fillId="3" borderId="3" xfId="0" applyNumberFormat="1" applyFont="1" applyFill="1" applyBorder="1" applyAlignment="1">
      <alignment horizontal="right" vertical="center"/>
    </xf>
    <xf numFmtId="3" fontId="13" fillId="3" borderId="3" xfId="0" applyNumberFormat="1" applyFont="1" applyFill="1" applyBorder="1" applyAlignment="1">
      <alignment horizontal="right" vertical="center"/>
    </xf>
    <xf numFmtId="3" fontId="22" fillId="3" borderId="3" xfId="0" applyNumberFormat="1" applyFont="1" applyFill="1" applyBorder="1" applyAlignment="1">
      <alignment horizontal="right" vertical="center"/>
    </xf>
    <xf numFmtId="3" fontId="21" fillId="5" borderId="3" xfId="0" applyNumberFormat="1" applyFont="1" applyFill="1" applyBorder="1" applyAlignment="1">
      <alignment horizontal="right" vertical="center"/>
    </xf>
    <xf numFmtId="3" fontId="14" fillId="4" borderId="3" xfId="0" applyNumberFormat="1" applyFont="1" applyFill="1" applyBorder="1" applyAlignment="1">
      <alignment horizontal="right" vertical="center"/>
    </xf>
    <xf numFmtId="3" fontId="22" fillId="4" borderId="3" xfId="0" applyNumberFormat="1" applyFont="1" applyFill="1" applyBorder="1" applyAlignment="1">
      <alignment horizontal="right" vertical="center"/>
    </xf>
    <xf numFmtId="0" fontId="21" fillId="5" borderId="6" xfId="0" applyNumberFormat="1" applyFont="1" applyFill="1" applyBorder="1" applyAlignment="1">
      <alignment horizontal="right" vertical="center"/>
    </xf>
    <xf numFmtId="0" fontId="21" fillId="0" borderId="6" xfId="0" applyFont="1" applyBorder="1" applyAlignment="1">
      <alignment horizontal="right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5" borderId="3" xfId="0" applyFont="1" applyFill="1" applyBorder="1" applyAlignment="1">
      <alignment horizontal="right" vertical="center"/>
    </xf>
    <xf numFmtId="0" fontId="21" fillId="5" borderId="6" xfId="0" applyFont="1" applyFill="1" applyBorder="1" applyAlignment="1">
      <alignment horizontal="right" vertical="center"/>
    </xf>
    <xf numFmtId="179" fontId="19" fillId="0" borderId="4" xfId="0" applyNumberFormat="1" applyFont="1" applyBorder="1" applyAlignment="1">
      <alignment vertical="center"/>
    </xf>
    <xf numFmtId="179" fontId="15" fillId="0" borderId="4" xfId="0" applyNumberFormat="1" applyFont="1" applyFill="1" applyBorder="1" applyAlignment="1">
      <alignment vertical="center"/>
    </xf>
    <xf numFmtId="0" fontId="23" fillId="0" borderId="0" xfId="0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</cellXfs>
  <cellStyles count="10">
    <cellStyle name="쉼표 [0]" xfId="1" builtinId="6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6" xfId="6" xr:uid="{00000000-0005-0000-0000-000006000000}"/>
    <cellStyle name="표준 7" xfId="7" xr:uid="{00000000-0005-0000-0000-000007000000}"/>
    <cellStyle name="표준 8" xfId="8" xr:uid="{00000000-0005-0000-0000-000008000000}"/>
    <cellStyle name="표준 9" xfId="9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zoomScaleNormal="100" workbookViewId="0">
      <pane xSplit="19545" topLeftCell="W1"/>
      <selection sqref="A1:O1"/>
      <selection pane="topRight" activeCell="AA14" sqref="AA14"/>
    </sheetView>
  </sheetViews>
  <sheetFormatPr defaultRowHeight="13.5"/>
  <cols>
    <col min="1" max="1" width="9.21875" customWidth="1"/>
    <col min="2" max="5" width="8.33203125" customWidth="1"/>
    <col min="6" max="6" width="8.77734375" customWidth="1"/>
    <col min="7" max="13" width="8.33203125" customWidth="1"/>
    <col min="14" max="15" width="7.77734375" customWidth="1"/>
    <col min="16" max="16" width="8" customWidth="1"/>
    <col min="21" max="21" width="3.77734375" customWidth="1"/>
  </cols>
  <sheetData>
    <row r="1" spans="1:16" ht="30" customHeight="1">
      <c r="A1" s="53" t="s">
        <v>32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6" ht="18.75" customHeight="1" thickBot="1">
      <c r="N2" s="52" t="s">
        <v>34</v>
      </c>
      <c r="O2" s="52"/>
    </row>
    <row r="3" spans="1:16" s="1" customFormat="1" ht="27" customHeight="1">
      <c r="A3" s="56" t="s">
        <v>7</v>
      </c>
      <c r="B3" s="54" t="s">
        <v>8</v>
      </c>
      <c r="C3" s="54"/>
      <c r="D3" s="54"/>
      <c r="E3" s="60" t="s">
        <v>33</v>
      </c>
      <c r="F3" s="61" t="s">
        <v>9</v>
      </c>
      <c r="G3" s="54" t="s">
        <v>10</v>
      </c>
      <c r="H3" s="54"/>
      <c r="I3" s="54"/>
      <c r="J3" s="54" t="s">
        <v>11</v>
      </c>
      <c r="K3" s="54"/>
      <c r="L3" s="54"/>
      <c r="M3" s="54" t="s">
        <v>12</v>
      </c>
      <c r="N3" s="54" t="s">
        <v>13</v>
      </c>
      <c r="O3" s="58" t="s">
        <v>0</v>
      </c>
    </row>
    <row r="4" spans="1:16" s="1" customFormat="1" ht="21.75" customHeight="1">
      <c r="A4" s="57"/>
      <c r="B4" s="45" t="s">
        <v>14</v>
      </c>
      <c r="C4" s="45" t="s">
        <v>15</v>
      </c>
      <c r="D4" s="45" t="s">
        <v>16</v>
      </c>
      <c r="E4" s="55"/>
      <c r="F4" s="62"/>
      <c r="G4" s="45" t="s">
        <v>14</v>
      </c>
      <c r="H4" s="45" t="s">
        <v>15</v>
      </c>
      <c r="I4" s="45" t="s">
        <v>16</v>
      </c>
      <c r="J4" s="45" t="s">
        <v>17</v>
      </c>
      <c r="K4" s="45" t="s">
        <v>18</v>
      </c>
      <c r="L4" s="45" t="s">
        <v>19</v>
      </c>
      <c r="M4" s="55"/>
      <c r="N4" s="55"/>
      <c r="O4" s="59"/>
    </row>
    <row r="5" spans="1:16" s="22" customFormat="1" ht="22.5" customHeight="1">
      <c r="A5" s="29" t="s">
        <v>35</v>
      </c>
      <c r="B5" s="41">
        <v>206033</v>
      </c>
      <c r="C5" s="41">
        <v>100071</v>
      </c>
      <c r="D5" s="41">
        <v>105962</v>
      </c>
      <c r="E5" s="41">
        <v>205932</v>
      </c>
      <c r="F5" s="30"/>
      <c r="G5" s="42">
        <v>186555</v>
      </c>
      <c r="H5" s="42">
        <v>90194</v>
      </c>
      <c r="I5" s="42">
        <v>96361</v>
      </c>
      <c r="J5" s="42">
        <v>59484</v>
      </c>
      <c r="K5" s="42">
        <v>25924</v>
      </c>
      <c r="L5" s="42">
        <v>33560</v>
      </c>
      <c r="M5" s="41">
        <v>105003</v>
      </c>
      <c r="N5" s="31">
        <v>284</v>
      </c>
      <c r="O5" s="32">
        <v>65.28</v>
      </c>
      <c r="P5" s="25"/>
    </row>
    <row r="6" spans="1:16" s="23" customFormat="1" ht="22.5" customHeight="1">
      <c r="A6" s="26" t="s">
        <v>36</v>
      </c>
      <c r="B6" s="37">
        <v>205932</v>
      </c>
      <c r="C6" s="37">
        <v>100086</v>
      </c>
      <c r="D6" s="37">
        <v>105846</v>
      </c>
      <c r="E6" s="38"/>
      <c r="F6" s="27"/>
      <c r="G6" s="37">
        <v>186374</v>
      </c>
      <c r="H6" s="37">
        <v>90154</v>
      </c>
      <c r="I6" s="37">
        <v>96220</v>
      </c>
      <c r="J6" s="39">
        <v>59110</v>
      </c>
      <c r="K6" s="39">
        <v>25777</v>
      </c>
      <c r="L6" s="39">
        <v>33333</v>
      </c>
      <c r="M6" s="37">
        <v>104470</v>
      </c>
      <c r="N6" s="33">
        <v>284</v>
      </c>
      <c r="O6" s="34">
        <v>65.28</v>
      </c>
    </row>
    <row r="7" spans="1:16" s="11" customFormat="1" ht="29.25" customHeight="1">
      <c r="A7" s="9" t="s">
        <v>30</v>
      </c>
      <c r="B7" s="10">
        <f>B5-B6</f>
        <v>101</v>
      </c>
      <c r="C7" s="10">
        <f>C5-C6</f>
        <v>-15</v>
      </c>
      <c r="D7" s="10">
        <f>D5-D6</f>
        <v>116</v>
      </c>
      <c r="E7" s="10"/>
      <c r="F7" s="10">
        <f>F8</f>
        <v>101</v>
      </c>
      <c r="G7" s="10">
        <f t="shared" ref="G7:N7" si="0">G5-G6</f>
        <v>181</v>
      </c>
      <c r="H7" s="10">
        <f t="shared" si="0"/>
        <v>40</v>
      </c>
      <c r="I7" s="10">
        <f t="shared" si="0"/>
        <v>141</v>
      </c>
      <c r="J7" s="10">
        <f t="shared" si="0"/>
        <v>374</v>
      </c>
      <c r="K7" s="10">
        <f t="shared" si="0"/>
        <v>147</v>
      </c>
      <c r="L7" s="10">
        <f t="shared" si="0"/>
        <v>227</v>
      </c>
      <c r="M7" s="10">
        <f t="shared" si="0"/>
        <v>533</v>
      </c>
      <c r="N7" s="10">
        <f t="shared" si="0"/>
        <v>0</v>
      </c>
      <c r="O7" s="51">
        <f>O5-O6</f>
        <v>0</v>
      </c>
    </row>
    <row r="8" spans="1:16" s="11" customFormat="1" ht="22.5" customHeight="1">
      <c r="A8" s="15" t="s">
        <v>17</v>
      </c>
      <c r="B8" s="40">
        <f t="shared" ref="B8:M8" si="1">SUM(B9:B24)</f>
        <v>206033</v>
      </c>
      <c r="C8" s="40">
        <f t="shared" si="1"/>
        <v>100071</v>
      </c>
      <c r="D8" s="40">
        <f t="shared" si="1"/>
        <v>105962</v>
      </c>
      <c r="E8" s="40">
        <f t="shared" si="1"/>
        <v>205932</v>
      </c>
      <c r="F8" s="17">
        <f t="shared" si="1"/>
        <v>101</v>
      </c>
      <c r="G8" s="40">
        <f t="shared" si="1"/>
        <v>186555</v>
      </c>
      <c r="H8" s="40">
        <f t="shared" si="1"/>
        <v>90194</v>
      </c>
      <c r="I8" s="40">
        <f t="shared" si="1"/>
        <v>96361</v>
      </c>
      <c r="J8" s="40">
        <f t="shared" si="1"/>
        <v>59484</v>
      </c>
      <c r="K8" s="40">
        <f t="shared" si="1"/>
        <v>25924</v>
      </c>
      <c r="L8" s="40">
        <f t="shared" si="1"/>
        <v>33560</v>
      </c>
      <c r="M8" s="40">
        <f t="shared" si="1"/>
        <v>105003</v>
      </c>
      <c r="N8" s="16">
        <v>284</v>
      </c>
      <c r="O8" s="50">
        <f>SUM(O9:O24)</f>
        <v>65.28</v>
      </c>
    </row>
    <row r="9" spans="1:16" ht="21" customHeight="1">
      <c r="A9" s="46" t="s">
        <v>20</v>
      </c>
      <c r="B9" s="40">
        <v>3938</v>
      </c>
      <c r="C9" s="40">
        <v>2059</v>
      </c>
      <c r="D9" s="40">
        <v>1879</v>
      </c>
      <c r="E9" s="40">
        <v>3969</v>
      </c>
      <c r="F9" s="18">
        <f t="shared" ref="F9:F24" si="2">B9-E9</f>
        <v>-31</v>
      </c>
      <c r="G9" s="40">
        <v>3851</v>
      </c>
      <c r="H9" s="40">
        <v>2013</v>
      </c>
      <c r="I9" s="40">
        <v>1838</v>
      </c>
      <c r="J9" s="40">
        <v>1737</v>
      </c>
      <c r="K9" s="48">
        <v>777</v>
      </c>
      <c r="L9" s="48">
        <v>960</v>
      </c>
      <c r="M9" s="40">
        <v>2530</v>
      </c>
      <c r="N9" s="24">
        <v>14</v>
      </c>
      <c r="O9" s="12">
        <v>0.36</v>
      </c>
    </row>
    <row r="10" spans="1:16" ht="21" customHeight="1">
      <c r="A10" s="46" t="s">
        <v>1</v>
      </c>
      <c r="B10" s="40">
        <v>7588</v>
      </c>
      <c r="C10" s="40">
        <v>3801</v>
      </c>
      <c r="D10" s="40">
        <v>3787</v>
      </c>
      <c r="E10" s="40">
        <v>7618</v>
      </c>
      <c r="F10" s="18">
        <f t="shared" si="2"/>
        <v>-30</v>
      </c>
      <c r="G10" s="40">
        <v>7150</v>
      </c>
      <c r="H10" s="40">
        <v>3582</v>
      </c>
      <c r="I10" s="40">
        <v>3568</v>
      </c>
      <c r="J10" s="40">
        <v>2890</v>
      </c>
      <c r="K10" s="40">
        <v>1300</v>
      </c>
      <c r="L10" s="40">
        <v>1590</v>
      </c>
      <c r="M10" s="40">
        <v>4289</v>
      </c>
      <c r="N10" s="24">
        <v>15</v>
      </c>
      <c r="O10" s="12">
        <v>0.4</v>
      </c>
    </row>
    <row r="11" spans="1:16" ht="21" customHeight="1">
      <c r="A11" s="46" t="s">
        <v>2</v>
      </c>
      <c r="B11" s="40">
        <v>9561</v>
      </c>
      <c r="C11" s="40">
        <v>4742</v>
      </c>
      <c r="D11" s="40">
        <v>4819</v>
      </c>
      <c r="E11" s="40">
        <v>9581</v>
      </c>
      <c r="F11" s="18">
        <f t="shared" si="2"/>
        <v>-20</v>
      </c>
      <c r="G11" s="40">
        <v>9112</v>
      </c>
      <c r="H11" s="40">
        <v>4506</v>
      </c>
      <c r="I11" s="40">
        <v>4606</v>
      </c>
      <c r="J11" s="40">
        <v>3831</v>
      </c>
      <c r="K11" s="40">
        <v>1671</v>
      </c>
      <c r="L11" s="40">
        <v>2160</v>
      </c>
      <c r="M11" s="40">
        <v>5456</v>
      </c>
      <c r="N11" s="24">
        <v>18</v>
      </c>
      <c r="O11" s="12">
        <v>0.92</v>
      </c>
    </row>
    <row r="12" spans="1:16" ht="21" customHeight="1">
      <c r="A12" s="46" t="s">
        <v>21</v>
      </c>
      <c r="B12" s="40">
        <v>6621</v>
      </c>
      <c r="C12" s="40">
        <v>3428</v>
      </c>
      <c r="D12" s="40">
        <v>3193</v>
      </c>
      <c r="E12" s="40">
        <v>6639</v>
      </c>
      <c r="F12" s="18">
        <f t="shared" si="2"/>
        <v>-18</v>
      </c>
      <c r="G12" s="40">
        <v>6301</v>
      </c>
      <c r="H12" s="40">
        <v>3257</v>
      </c>
      <c r="I12" s="40">
        <v>3044</v>
      </c>
      <c r="J12" s="40">
        <v>2715</v>
      </c>
      <c r="K12" s="40">
        <v>1287</v>
      </c>
      <c r="L12" s="40">
        <v>1428</v>
      </c>
      <c r="M12" s="40">
        <v>3839</v>
      </c>
      <c r="N12" s="24">
        <v>15</v>
      </c>
      <c r="O12" s="12">
        <v>5.51</v>
      </c>
    </row>
    <row r="13" spans="1:16" s="5" customFormat="1" ht="21" customHeight="1">
      <c r="A13" s="7" t="s">
        <v>22</v>
      </c>
      <c r="B13" s="40">
        <v>6914</v>
      </c>
      <c r="C13" s="40">
        <v>3306</v>
      </c>
      <c r="D13" s="40">
        <v>3608</v>
      </c>
      <c r="E13" s="40">
        <v>6921</v>
      </c>
      <c r="F13" s="18">
        <f t="shared" si="2"/>
        <v>-7</v>
      </c>
      <c r="G13" s="40">
        <v>6522</v>
      </c>
      <c r="H13" s="40">
        <v>3083</v>
      </c>
      <c r="I13" s="40">
        <v>3439</v>
      </c>
      <c r="J13" s="40">
        <v>2841</v>
      </c>
      <c r="K13" s="40">
        <v>1142</v>
      </c>
      <c r="L13" s="40">
        <v>1699</v>
      </c>
      <c r="M13" s="40">
        <v>4065</v>
      </c>
      <c r="N13" s="24">
        <v>14</v>
      </c>
      <c r="O13" s="13">
        <v>0.71</v>
      </c>
    </row>
    <row r="14" spans="1:16" s="5" customFormat="1" ht="21" customHeight="1">
      <c r="A14" s="7" t="s">
        <v>3</v>
      </c>
      <c r="B14" s="40">
        <v>16437</v>
      </c>
      <c r="C14" s="40">
        <v>7726</v>
      </c>
      <c r="D14" s="40">
        <v>8711</v>
      </c>
      <c r="E14" s="40">
        <v>16452</v>
      </c>
      <c r="F14" s="18">
        <f t="shared" si="2"/>
        <v>-15</v>
      </c>
      <c r="G14" s="40">
        <v>14843</v>
      </c>
      <c r="H14" s="40">
        <v>6910</v>
      </c>
      <c r="I14" s="40">
        <v>7933</v>
      </c>
      <c r="J14" s="40">
        <v>4308</v>
      </c>
      <c r="K14" s="40">
        <v>1861</v>
      </c>
      <c r="L14" s="40">
        <v>2447</v>
      </c>
      <c r="M14" s="40">
        <v>7818</v>
      </c>
      <c r="N14" s="24">
        <v>21</v>
      </c>
      <c r="O14" s="13">
        <v>1.2</v>
      </c>
    </row>
    <row r="15" spans="1:16" s="5" customFormat="1" ht="21" customHeight="1">
      <c r="A15" s="7" t="s">
        <v>4</v>
      </c>
      <c r="B15" s="40">
        <v>14332</v>
      </c>
      <c r="C15" s="40">
        <v>6759</v>
      </c>
      <c r="D15" s="40">
        <v>7573</v>
      </c>
      <c r="E15" s="40">
        <v>14374</v>
      </c>
      <c r="F15" s="18">
        <f t="shared" si="2"/>
        <v>-42</v>
      </c>
      <c r="G15" s="40">
        <v>12780</v>
      </c>
      <c r="H15" s="40">
        <v>5987</v>
      </c>
      <c r="I15" s="40">
        <v>6793</v>
      </c>
      <c r="J15" s="40">
        <v>3801</v>
      </c>
      <c r="K15" s="40">
        <v>1619</v>
      </c>
      <c r="L15" s="40">
        <v>2182</v>
      </c>
      <c r="M15" s="40">
        <v>6776</v>
      </c>
      <c r="N15" s="24">
        <v>17</v>
      </c>
      <c r="O15" s="13">
        <v>8.23</v>
      </c>
    </row>
    <row r="16" spans="1:16" s="5" customFormat="1" ht="21" customHeight="1">
      <c r="A16" s="7" t="s">
        <v>5</v>
      </c>
      <c r="B16" s="40">
        <v>11046</v>
      </c>
      <c r="C16" s="40">
        <v>5216</v>
      </c>
      <c r="D16" s="40">
        <v>5830</v>
      </c>
      <c r="E16" s="40">
        <v>11085</v>
      </c>
      <c r="F16" s="18">
        <f t="shared" si="2"/>
        <v>-39</v>
      </c>
      <c r="G16" s="40">
        <v>10312</v>
      </c>
      <c r="H16" s="40">
        <v>4831</v>
      </c>
      <c r="I16" s="40">
        <v>5481</v>
      </c>
      <c r="J16" s="40">
        <v>3879</v>
      </c>
      <c r="K16" s="40">
        <v>1623</v>
      </c>
      <c r="L16" s="40">
        <v>2256</v>
      </c>
      <c r="M16" s="40">
        <v>5761</v>
      </c>
      <c r="N16" s="24">
        <v>16</v>
      </c>
      <c r="O16" s="13">
        <v>0.67</v>
      </c>
    </row>
    <row r="17" spans="1:15" s="5" customFormat="1" ht="21" customHeight="1">
      <c r="A17" s="7" t="s">
        <v>23</v>
      </c>
      <c r="B17" s="40">
        <v>18120</v>
      </c>
      <c r="C17" s="40">
        <v>9533</v>
      </c>
      <c r="D17" s="40">
        <v>8587</v>
      </c>
      <c r="E17" s="40">
        <v>17764</v>
      </c>
      <c r="F17" s="18">
        <f t="shared" si="2"/>
        <v>356</v>
      </c>
      <c r="G17" s="40">
        <v>16795</v>
      </c>
      <c r="H17" s="40">
        <v>8886</v>
      </c>
      <c r="I17" s="40">
        <v>7909</v>
      </c>
      <c r="J17" s="40">
        <v>3088</v>
      </c>
      <c r="K17" s="40">
        <v>1341</v>
      </c>
      <c r="L17" s="40">
        <v>1747</v>
      </c>
      <c r="M17" s="40">
        <v>11967</v>
      </c>
      <c r="N17" s="24">
        <v>19</v>
      </c>
      <c r="O17" s="13">
        <v>3.28</v>
      </c>
    </row>
    <row r="18" spans="1:15" s="5" customFormat="1" ht="21" customHeight="1">
      <c r="A18" s="7" t="s">
        <v>6</v>
      </c>
      <c r="B18" s="40">
        <v>26216</v>
      </c>
      <c r="C18" s="40">
        <v>12569</v>
      </c>
      <c r="D18" s="40">
        <v>13647</v>
      </c>
      <c r="E18" s="40">
        <v>26196</v>
      </c>
      <c r="F18" s="18">
        <f t="shared" si="2"/>
        <v>20</v>
      </c>
      <c r="G18" s="40">
        <v>22048</v>
      </c>
      <c r="H18" s="40">
        <v>10372</v>
      </c>
      <c r="I18" s="40">
        <v>11676</v>
      </c>
      <c r="J18" s="40">
        <v>5520</v>
      </c>
      <c r="K18" s="40">
        <v>2311</v>
      </c>
      <c r="L18" s="40">
        <v>3209</v>
      </c>
      <c r="M18" s="40">
        <v>11940</v>
      </c>
      <c r="N18" s="24">
        <v>26</v>
      </c>
      <c r="O18" s="13">
        <v>2.75</v>
      </c>
    </row>
    <row r="19" spans="1:15" s="5" customFormat="1" ht="21" customHeight="1">
      <c r="A19" s="7" t="s">
        <v>24</v>
      </c>
      <c r="B19" s="40">
        <v>1929</v>
      </c>
      <c r="C19" s="40">
        <v>1016</v>
      </c>
      <c r="D19" s="48">
        <v>913</v>
      </c>
      <c r="E19" s="40">
        <v>1930</v>
      </c>
      <c r="F19" s="18">
        <f t="shared" si="2"/>
        <v>-1</v>
      </c>
      <c r="G19" s="40">
        <v>1856</v>
      </c>
      <c r="H19" s="48">
        <v>978</v>
      </c>
      <c r="I19" s="48">
        <v>878</v>
      </c>
      <c r="J19" s="48">
        <v>853</v>
      </c>
      <c r="K19" s="48">
        <v>423</v>
      </c>
      <c r="L19" s="48">
        <v>430</v>
      </c>
      <c r="M19" s="40">
        <v>1106</v>
      </c>
      <c r="N19" s="24">
        <v>10</v>
      </c>
      <c r="O19" s="13">
        <v>12.06</v>
      </c>
    </row>
    <row r="20" spans="1:15" s="5" customFormat="1" ht="21" customHeight="1">
      <c r="A20" s="7" t="s">
        <v>25</v>
      </c>
      <c r="B20" s="40">
        <v>8896</v>
      </c>
      <c r="C20" s="40">
        <v>4306</v>
      </c>
      <c r="D20" s="40">
        <v>4590</v>
      </c>
      <c r="E20" s="40">
        <v>8916</v>
      </c>
      <c r="F20" s="18">
        <f t="shared" si="2"/>
        <v>-20</v>
      </c>
      <c r="G20" s="40">
        <v>8139</v>
      </c>
      <c r="H20" s="40">
        <v>3904</v>
      </c>
      <c r="I20" s="40">
        <v>4235</v>
      </c>
      <c r="J20" s="40">
        <v>3253</v>
      </c>
      <c r="K20" s="40">
        <v>1444</v>
      </c>
      <c r="L20" s="40">
        <v>1809</v>
      </c>
      <c r="M20" s="40">
        <v>4328</v>
      </c>
      <c r="N20" s="24">
        <v>11</v>
      </c>
      <c r="O20" s="13">
        <v>10.91</v>
      </c>
    </row>
    <row r="21" spans="1:15" s="5" customFormat="1" ht="21" customHeight="1">
      <c r="A21" s="7" t="s">
        <v>26</v>
      </c>
      <c r="B21" s="40">
        <v>25198</v>
      </c>
      <c r="C21" s="40">
        <v>12292</v>
      </c>
      <c r="D21" s="40">
        <v>12906</v>
      </c>
      <c r="E21" s="40">
        <v>25203</v>
      </c>
      <c r="F21" s="18">
        <f t="shared" si="2"/>
        <v>-5</v>
      </c>
      <c r="G21" s="40">
        <v>23577</v>
      </c>
      <c r="H21" s="40">
        <v>11469</v>
      </c>
      <c r="I21" s="40">
        <v>12108</v>
      </c>
      <c r="J21" s="40">
        <v>7991</v>
      </c>
      <c r="K21" s="40">
        <v>3469</v>
      </c>
      <c r="L21" s="40">
        <v>4522</v>
      </c>
      <c r="M21" s="40">
        <v>13611</v>
      </c>
      <c r="N21" s="28">
        <v>34</v>
      </c>
      <c r="O21" s="13">
        <v>3.64</v>
      </c>
    </row>
    <row r="22" spans="1:15" s="5" customFormat="1" ht="21" customHeight="1">
      <c r="A22" s="7" t="s">
        <v>27</v>
      </c>
      <c r="B22" s="40">
        <v>18205</v>
      </c>
      <c r="C22" s="40">
        <v>8506</v>
      </c>
      <c r="D22" s="40">
        <v>9699</v>
      </c>
      <c r="E22" s="40">
        <v>18233</v>
      </c>
      <c r="F22" s="18">
        <f t="shared" si="2"/>
        <v>-28</v>
      </c>
      <c r="G22" s="40">
        <v>15973</v>
      </c>
      <c r="H22" s="40">
        <v>7445</v>
      </c>
      <c r="I22" s="40">
        <v>8528</v>
      </c>
      <c r="J22" s="40">
        <v>4442</v>
      </c>
      <c r="K22" s="40">
        <v>1948</v>
      </c>
      <c r="L22" s="40">
        <v>2494</v>
      </c>
      <c r="M22" s="40">
        <v>7928</v>
      </c>
      <c r="N22" s="24">
        <v>21</v>
      </c>
      <c r="O22" s="13">
        <v>3.03</v>
      </c>
    </row>
    <row r="23" spans="1:15" s="5" customFormat="1" ht="21" customHeight="1">
      <c r="A23" s="7" t="s">
        <v>28</v>
      </c>
      <c r="B23" s="40">
        <v>30175</v>
      </c>
      <c r="C23" s="40">
        <v>14390</v>
      </c>
      <c r="D23" s="40">
        <v>15785</v>
      </c>
      <c r="E23" s="40">
        <v>30188</v>
      </c>
      <c r="F23" s="18">
        <f t="shared" si="2"/>
        <v>-13</v>
      </c>
      <c r="G23" s="40">
        <v>26526</v>
      </c>
      <c r="H23" s="40">
        <v>12592</v>
      </c>
      <c r="I23" s="40">
        <v>13934</v>
      </c>
      <c r="J23" s="40">
        <v>8016</v>
      </c>
      <c r="K23" s="40">
        <v>3564</v>
      </c>
      <c r="L23" s="40">
        <v>4452</v>
      </c>
      <c r="M23" s="40">
        <v>13153</v>
      </c>
      <c r="N23" s="24">
        <v>30</v>
      </c>
      <c r="O23" s="13">
        <v>3.19</v>
      </c>
    </row>
    <row r="24" spans="1:15" ht="21" customHeight="1" thickBot="1">
      <c r="A24" s="8" t="s">
        <v>29</v>
      </c>
      <c r="B24" s="49">
        <v>857</v>
      </c>
      <c r="C24" s="49">
        <v>422</v>
      </c>
      <c r="D24" s="49">
        <v>435</v>
      </c>
      <c r="E24" s="43">
        <v>863</v>
      </c>
      <c r="F24" s="19">
        <f t="shared" si="2"/>
        <v>-6</v>
      </c>
      <c r="G24" s="49">
        <v>770</v>
      </c>
      <c r="H24" s="49">
        <v>379</v>
      </c>
      <c r="I24" s="49">
        <v>391</v>
      </c>
      <c r="J24" s="49">
        <v>319</v>
      </c>
      <c r="K24" s="49">
        <v>144</v>
      </c>
      <c r="L24" s="49">
        <v>175</v>
      </c>
      <c r="M24" s="49">
        <v>436</v>
      </c>
      <c r="N24" s="44">
        <v>3</v>
      </c>
      <c r="O24" s="14">
        <v>8.42</v>
      </c>
    </row>
    <row r="25" spans="1:15" s="3" customFormat="1">
      <c r="B25" s="4"/>
      <c r="C25" s="6"/>
      <c r="D25" s="6"/>
      <c r="E25" s="6"/>
      <c r="F25" s="6"/>
    </row>
    <row r="26" spans="1:15" ht="18" customHeight="1">
      <c r="A26" s="47" t="s">
        <v>31</v>
      </c>
      <c r="B26" s="21"/>
      <c r="C26" s="21"/>
      <c r="D26" s="21"/>
      <c r="E26" s="21"/>
      <c r="F26" s="21"/>
    </row>
    <row r="27" spans="1:15" ht="17.25" customHeight="1">
      <c r="A27" s="20" t="s">
        <v>37</v>
      </c>
      <c r="B27" s="20"/>
      <c r="C27" s="20"/>
      <c r="D27" s="20"/>
      <c r="E27" s="20"/>
      <c r="F27" s="20"/>
      <c r="G27" s="20"/>
      <c r="H27" s="20"/>
      <c r="I27" s="20"/>
    </row>
    <row r="28" spans="1:15" ht="14.25" customHeight="1">
      <c r="A28" s="35"/>
      <c r="B28" s="36"/>
      <c r="C28" s="36"/>
    </row>
    <row r="29" spans="1:15">
      <c r="B29" s="2"/>
      <c r="C29" s="2"/>
    </row>
  </sheetData>
  <mergeCells count="11">
    <mergeCell ref="N2:O2"/>
    <mergeCell ref="A1:O1"/>
    <mergeCell ref="G3:I3"/>
    <mergeCell ref="N3:N4"/>
    <mergeCell ref="A3:A4"/>
    <mergeCell ref="B3:D3"/>
    <mergeCell ref="O3:O4"/>
    <mergeCell ref="E3:E4"/>
    <mergeCell ref="J3:L3"/>
    <mergeCell ref="M3:M4"/>
    <mergeCell ref="F3:F4"/>
  </mergeCells>
  <phoneticPr fontId="2" type="noConversion"/>
  <pageMargins left="0.35433070866141736" right="0.23622047244094491" top="0.27559055118110237" bottom="0.39370078740157483" header="0.31496062992125984" footer="0.27559055118110237"/>
  <pageSetup paperSize="9" scale="9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금정구</vt:lpstr>
      <vt:lpstr>금정구!Print_Area</vt:lpstr>
    </vt:vector>
  </TitlesOfParts>
  <Company>부산광역시청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부산광역시청</dc:creator>
  <cp:lastModifiedBy>user</cp:lastModifiedBy>
  <cp:lastPrinted>2024-11-04T00:21:01Z</cp:lastPrinted>
  <dcterms:created xsi:type="dcterms:W3CDTF">2000-01-31T06:36:09Z</dcterms:created>
  <dcterms:modified xsi:type="dcterms:W3CDTF">2026-04-01T04:34:53Z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DI2IiwibG9nVGltZSI6IjIwMjYtMDMtMDNUMDE6MzI6MzdaIiwicElEIjoxLCJwcm9jZXNzTmFtZSI6IkVYQ0VMLkVYRSIsInRyYWNlSWQiOiJCQzYwMjg2MzI5NDc0NENDODhBN0I5RDJDNDA0QUU2MSIsInVzZXJDb2RlIjoic3ViaW5nb29ndSJ9LCJub2RlMiI6eyJkc2QiOiIwMDAwMDAwMDAwMDAwMDAwIiwibG9nVGltZSI6IjIwMjYtMDMtMDNUMDE6MzM6MDRaIiwicElEIjoyMDQ4LCJwcm9jZXNzTmFtZSI6IkVYQ0VMLkVYRSIsInRyYWNlSWQiOiIxMDRDNkVFQzdGNUQ0NTcyODFDRjE4MDM3MkQzRjdGOCIsInVzZXJDb2RlIjoic3ViaW5nb29ndSJ9LCJub2RlMyI6eyJkc2QiOiIwMTAwMDAwMDAwMDAyMDI2IiwibG9nVGltZSI6IjIwMjYtMDQtMDFUMDQ6MDc6MjhaIiwicElEIjoxLCJwcm9jZXNzTmFtZSI6ImZfYmF0bWdyLmV4ZSIsInRyYWNlSWQiOiI3OEMxNTJDNzY3RTM0Njg1QjM4QTlEMTJCMzRENThBNSIsInVzZXJDb2RlIjoic3ViaW5nb29ndSJ9LCJub2RlNCI6eyJkc2QiOiIwMTAwMDAwMDAwMDAyMDI2IiwibG9nVGltZSI6IjIwMjYtMDQtMDFUMDQ6MzM6MjRaIiwicElEIjoxLCJwcm9jZXNzTmFtZSI6IkVYQ0VMLkVYRSIsInRyYWNlSWQiOiI1NzEzNjQ5RTBEOTg0QTlCQkI2RjkwMUU3MzlDNDQ2NSIsInVzZXJDb2RlIjoic3ViaW5nb29ndSJ9LCJub2RlNSI6eyJkc2QiOiIwMDAwMDAwMDAwMDAwMDAwIiwibG9nVGltZSI6IjIwMjYtMDQtMDFUMDQ6MzM6NDdaIiwicElEIjoyMDQ4LCJwcm9jZXNzSWQiOjMwNjI4LCJwcm9jZXNzTmFtZSI6IkVYQ0VMLkVYRSIsInRyYWNlSWQiOiIwMDJEQTAyRTVEOEM0RkRGQkQ3QjMyNzMzRjIxOUM2MiIsInVzZXJDb2RlIjoic3ViaW5nb29ndSJ9LCJub2RlQ291bnQiOjIxMn0=</vt:lpwstr>
  </property>
</Properties>
</file>